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se_Review" sheetId="2" state="visible" r:id="rId2"/>
    <sheet name="Lists" sheetId="3" state="hidden" r:id="rId3"/>
    <sheet name="Summary" sheetId="4" state="visible" r:id="rId4"/>
    <sheet name="Codebook" sheetId="5" state="visible" r:id="rId5"/>
  </sheets>
  <definedNames>
    <definedName name="_xlnm._FilterDatabase" localSheetId="1" hidden="1">'Case_Review'!$A$1:$S$13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P0-B input-mode technical blind review</t>
        </is>
      </c>
    </row>
    <row r="2">
      <c r="A2" t="inlineStr">
        <is>
          <t>Reviewer ID</t>
        </is>
      </c>
    </row>
    <row r="3">
      <c r="A3" t="inlineStr">
        <is>
          <t>Review date</t>
        </is>
      </c>
    </row>
    <row r="4">
      <c r="A4" t="inlineStr">
        <is>
          <t>Reviewer role</t>
        </is>
      </c>
    </row>
    <row r="5">
      <c r="A5" t="inlineStr">
        <is>
          <t>Prior unblinding exposure (Yes/No)</t>
        </is>
      </c>
    </row>
    <row r="6">
      <c r="A6" s="2" t="inlineStr">
        <is>
          <t>Declaration: I have not viewed unblinding files.</t>
        </is>
      </c>
    </row>
    <row r="7">
      <c r="A7" t="inlineStr">
        <is>
          <t>This review compares technical usability only; it does not assess cardiac-function classification.</t>
        </is>
      </c>
    </row>
    <row r="8">
      <c r="A8" t="inlineStr">
        <is>
          <t>Albedo-like is not a physiological reflectance measurement.</t>
        </is>
      </c>
    </row>
    <row r="9">
      <c r="A9" t="inlineStr">
        <is>
          <t>Do not access private unblinding files. Facial images remain identifiable clinical data for authorized internal review only.</t>
        </is>
      </c>
    </row>
    <row r="10">
      <c r="A10" t="inlineStr">
        <is>
          <t>Complete all 12 cases independently before making any overall judgement. Do not select a mode from a single MAE or coverage value.</t>
        </is>
      </c>
    </row>
    <row r="11">
      <c r="A11" t="inlineStr">
        <is>
          <t>Predeclared later decision rule: fewer Unusable cases, then more pairwise preferences, then higher overall usability without worse geometry or relighting identity preservation. A tie remains inconclusive.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6" customWidth="1" min="19" max="19"/>
  </cols>
  <sheetData>
    <row r="1" ht="35" customHeight="1">
      <c r="A1" s="3" t="inlineStr">
        <is>
          <t>Blind Case ID</t>
        </is>
      </c>
      <c r="B1" s="3" t="inlineStr">
        <is>
          <t>Panel reviewed</t>
        </is>
      </c>
      <c r="C1" s="3" t="inlineStr">
        <is>
          <t>A usability</t>
        </is>
      </c>
      <c r="D1" s="3" t="inlineStr">
        <is>
          <t>B usability</t>
        </is>
      </c>
      <c r="E1" s="3" t="inlineStr">
        <is>
          <t>A face completeness</t>
        </is>
      </c>
      <c r="F1" s="3" t="inlineStr">
        <is>
          <t>B face completeness</t>
        </is>
      </c>
      <c r="G1" s="3" t="inlineStr">
        <is>
          <t>A geometry alignment</t>
        </is>
      </c>
      <c r="H1" s="3" t="inlineStr">
        <is>
          <t>B geometry alignment</t>
        </is>
      </c>
      <c r="I1" s="3" t="inlineStr">
        <is>
          <t>A appearance cleanliness</t>
        </is>
      </c>
      <c r="J1" s="3" t="inlineStr">
        <is>
          <t>B appearance cleanliness</t>
        </is>
      </c>
      <c r="K1" s="3" t="inlineStr">
        <is>
          <t>A relighting identity preservation</t>
        </is>
      </c>
      <c r="L1" s="3" t="inlineStr">
        <is>
          <t>B relighting identity preservation</t>
        </is>
      </c>
      <c r="M1" s="3" t="inlineStr">
        <is>
          <t>A overall technical usability</t>
        </is>
      </c>
      <c r="N1" s="3" t="inlineStr">
        <is>
          <t>B overall technical usability</t>
        </is>
      </c>
      <c r="O1" s="3" t="inlineStr">
        <is>
          <t>A primary failure tag</t>
        </is>
      </c>
      <c r="P1" s="3" t="inlineStr">
        <is>
          <t>B primary failure tag</t>
        </is>
      </c>
      <c r="Q1" s="3" t="inlineStr">
        <is>
          <t>Pairwise preference</t>
        </is>
      </c>
      <c r="R1" s="3" t="inlineStr">
        <is>
          <t>Preference confidence</t>
        </is>
      </c>
      <c r="S1" s="3" t="inlineStr">
        <is>
          <t>Comments</t>
        </is>
      </c>
    </row>
    <row r="2" ht="48" customHeight="1">
      <c r="A2" t="inlineStr">
        <is>
          <t>BR01</t>
        </is>
      </c>
      <c r="B2" t="inlineStr">
        <is>
          <t>Overview + relighting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48" customHeight="1">
      <c r="A3" t="inlineStr">
        <is>
          <t>BR02</t>
        </is>
      </c>
      <c r="B3" t="inlineStr">
        <is>
          <t>Overview + relighting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48" customHeight="1">
      <c r="A4" t="inlineStr">
        <is>
          <t>BR03</t>
        </is>
      </c>
      <c r="B4" t="inlineStr">
        <is>
          <t>Overview + relighting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48" customHeight="1">
      <c r="A5" t="inlineStr">
        <is>
          <t>BR04</t>
        </is>
      </c>
      <c r="B5" t="inlineStr">
        <is>
          <t>Overview + relighting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 ht="48" customHeight="1">
      <c r="A6" t="inlineStr">
        <is>
          <t>BR05</t>
        </is>
      </c>
      <c r="B6" t="inlineStr">
        <is>
          <t>Overview + relighting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48" customHeight="1">
      <c r="A7" t="inlineStr">
        <is>
          <t>BR06</t>
        </is>
      </c>
      <c r="B7" t="inlineStr">
        <is>
          <t>Overview + relighting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48" customHeight="1">
      <c r="A8" t="inlineStr">
        <is>
          <t>BR07</t>
        </is>
      </c>
      <c r="B8" t="inlineStr">
        <is>
          <t>Overview + relighting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48" customHeight="1">
      <c r="A9" t="inlineStr">
        <is>
          <t>BR08</t>
        </is>
      </c>
      <c r="B9" t="inlineStr">
        <is>
          <t>Overview + relighting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48" customHeight="1">
      <c r="A10" t="inlineStr">
        <is>
          <t>BR09</t>
        </is>
      </c>
      <c r="B10" t="inlineStr">
        <is>
          <t>Overview + relighting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48" customHeight="1">
      <c r="A11" t="inlineStr">
        <is>
          <t>BR10</t>
        </is>
      </c>
      <c r="B11" t="inlineStr">
        <is>
          <t>Overview + relighting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 ht="48" customHeight="1">
      <c r="A12" t="inlineStr">
        <is>
          <t>BR11</t>
        </is>
      </c>
      <c r="B12" t="inlineStr">
        <is>
          <t>Overview + relighting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 ht="48" customHeight="1">
      <c r="A13" t="inlineStr">
        <is>
          <t>BR12</t>
        </is>
      </c>
      <c r="B13" t="inlineStr">
        <is>
          <t>Overview + relighting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</sheetData>
  <autoFilter ref="A1:S13"/>
  <conditionalFormatting sqref="E2:N13">
    <cfRule type="cellIs" priority="1" operator="equal" dxfId="0">
      <formula>1</formula>
    </cfRule>
    <cfRule type="cellIs" priority="2" operator="equal" dxfId="1">
      <formula>5</formula>
    </cfRule>
  </conditionalFormatting>
  <dataValidations count="5">
    <dataValidation sqref="C2:D13" showDropDown="0" showInputMessage="0" showErrorMessage="0" allowBlank="0" type="list">
      <formula1>=Lists!$A$2:$A$4</formula1>
    </dataValidation>
    <dataValidation sqref="E2:N13" showDropDown="0" showInputMessage="0" showErrorMessage="0" allowBlank="0" type="list">
      <formula1>=Lists!$B$2:$B$6</formula1>
    </dataValidation>
    <dataValidation sqref="O2:P13" showDropDown="0" showInputMessage="0" showErrorMessage="0" allowBlank="0" type="list">
      <formula1>=Lists!$C$2:$C$10</formula1>
    </dataValidation>
    <dataValidation sqref="Q2:Q13" showDropDown="0" showInputMessage="0" showErrorMessage="0" allowBlank="0" type="list">
      <formula1>=Lists!$D$2:$D$5</formula1>
    </dataValidation>
    <dataValidation sqref="R2:R13" showDropDown="0" showInputMessage="0" showErrorMessage="0" allowBlank="0" type="list">
      <formula1>=Lists!$E$2:$E$4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Usability</t>
        </is>
      </c>
      <c r="B1" t="inlineStr">
        <is>
          <t>Score</t>
        </is>
      </c>
      <c r="C1" t="inlineStr">
        <is>
          <t>Failure</t>
        </is>
      </c>
      <c r="D1" t="inlineStr">
        <is>
          <t>Preference</t>
        </is>
      </c>
      <c r="E1" t="inlineStr">
        <is>
          <t>Confidence</t>
        </is>
      </c>
      <c r="F1" t="inlineStr">
        <is>
          <t>YesNo</t>
        </is>
      </c>
    </row>
    <row r="2">
      <c r="A2" t="inlineStr">
        <is>
          <t>Usable</t>
        </is>
      </c>
      <c r="B2" t="n">
        <v>1</v>
      </c>
      <c r="C2" t="inlineStr">
        <is>
          <t>None</t>
        </is>
      </c>
      <c r="D2" t="inlineStr">
        <is>
          <t>A</t>
        </is>
      </c>
      <c r="E2" t="inlineStr">
        <is>
          <t>Low</t>
        </is>
      </c>
      <c r="F2" t="inlineStr">
        <is>
          <t>Yes</t>
        </is>
      </c>
    </row>
    <row r="3">
      <c r="A3" t="inlineStr">
        <is>
          <t>Borderline</t>
        </is>
      </c>
      <c r="B3" t="n">
        <v>2</v>
      </c>
      <c r="C3" t="inlineStr">
        <is>
          <t>Face truncation</t>
        </is>
      </c>
      <c r="D3" t="inlineStr">
        <is>
          <t>B</t>
        </is>
      </c>
      <c r="E3" t="inlineStr">
        <is>
          <t>Medium</t>
        </is>
      </c>
      <c r="F3" t="inlineStr">
        <is>
          <t>No</t>
        </is>
      </c>
    </row>
    <row r="4">
      <c r="A4" t="inlineStr">
        <is>
          <t>Unusable</t>
        </is>
      </c>
      <c r="B4" t="n">
        <v>3</v>
      </c>
      <c r="C4" t="inlineStr">
        <is>
          <t>Geometry misalignment</t>
        </is>
      </c>
      <c r="D4" t="inlineStr">
        <is>
          <t>Tie</t>
        </is>
      </c>
      <c r="E4" t="inlineStr">
        <is>
          <t>High</t>
        </is>
      </c>
      <c r="F4" t="inlineStr"/>
    </row>
    <row r="5">
      <c r="A5" t="inlineStr"/>
      <c r="B5" t="n">
        <v>4</v>
      </c>
      <c r="C5" t="inlineStr">
        <is>
          <t>Background leakage</t>
        </is>
      </c>
      <c r="D5" t="inlineStr">
        <is>
          <t>Neither</t>
        </is>
      </c>
      <c r="E5" t="inlineStr"/>
      <c r="F5" t="inlineStr"/>
    </row>
    <row r="6">
      <c r="A6" t="inlineStr"/>
      <c r="B6" t="n">
        <v>5</v>
      </c>
      <c r="C6" t="inlineStr">
        <is>
          <t>Albedo/shading artifact</t>
        </is>
      </c>
      <c r="D6" t="inlineStr"/>
      <c r="E6" t="inlineStr"/>
      <c r="F6" t="inlineStr"/>
    </row>
    <row r="7">
      <c r="A7" t="inlineStr"/>
      <c r="B7" t="inlineStr"/>
      <c r="C7" t="inlineStr">
        <is>
          <t>Normal-map distortion</t>
        </is>
      </c>
      <c r="D7" t="inlineStr"/>
      <c r="E7" t="inlineStr"/>
      <c r="F7" t="inlineStr"/>
    </row>
    <row r="8">
      <c r="A8" t="inlineStr"/>
      <c r="B8" t="inlineStr"/>
      <c r="C8" t="inlineStr">
        <is>
          <t>Relighting instability</t>
        </is>
      </c>
      <c r="D8" t="inlineStr"/>
      <c r="E8" t="inlineStr"/>
      <c r="F8" t="inlineStr"/>
    </row>
    <row r="9">
      <c r="A9" t="inlineStr"/>
      <c r="B9" t="inlineStr"/>
      <c r="C9" t="inlineStr">
        <is>
          <t>Boundary/mask artifact</t>
        </is>
      </c>
      <c r="D9" t="inlineStr"/>
      <c r="E9" t="inlineStr"/>
      <c r="F9" t="inlineStr"/>
    </row>
    <row r="10">
      <c r="A10" t="inlineStr"/>
      <c r="B10" t="inlineStr"/>
      <c r="C10" t="inlineStr">
        <is>
          <t>Other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5" t="inlineStr">
        <is>
          <t>Blind summary</t>
        </is>
      </c>
      <c r="B1" s="5" t="inlineStr">
        <is>
          <t>Value</t>
        </is>
      </c>
    </row>
    <row r="2">
      <c r="A2" t="inlineStr">
        <is>
          <t>Completed cases</t>
        </is>
      </c>
      <c r="B2">
        <f>COUNTIF(Case_Review!C2:C13,"&lt;&gt;")</f>
        <v/>
      </c>
    </row>
    <row r="3">
      <c r="A3" t="inlineStr">
        <is>
          <t>A Usable</t>
        </is>
      </c>
      <c r="B3">
        <f>COUNTIF(Case_Review!C2:C13,"Usable")</f>
        <v/>
      </c>
    </row>
    <row r="4">
      <c r="A4" t="inlineStr">
        <is>
          <t>A Borderline</t>
        </is>
      </c>
      <c r="B4">
        <f>COUNTIF(Case_Review!C2:C13,"Borderline")</f>
        <v/>
      </c>
    </row>
    <row r="5">
      <c r="A5" t="inlineStr">
        <is>
          <t>A Unusable</t>
        </is>
      </c>
      <c r="B5">
        <f>COUNTIF(Case_Review!C2:C13,"Unusable")</f>
        <v/>
      </c>
    </row>
    <row r="6">
      <c r="A6" t="inlineStr">
        <is>
          <t>B Usable</t>
        </is>
      </c>
      <c r="B6">
        <f>COUNTIF(Case_Review!D2:D13,"Usable")</f>
        <v/>
      </c>
    </row>
    <row r="7">
      <c r="A7" t="inlineStr">
        <is>
          <t>B Borderline</t>
        </is>
      </c>
      <c r="B7">
        <f>COUNTIF(Case_Review!D2:D13,"Borderline")</f>
        <v/>
      </c>
    </row>
    <row r="8">
      <c r="A8" t="inlineStr">
        <is>
          <t>B Unusable</t>
        </is>
      </c>
      <c r="B8">
        <f>COUNTIF(Case_Review!D2:D13,"Unusable")</f>
        <v/>
      </c>
    </row>
    <row r="9">
      <c r="A9" t="inlineStr">
        <is>
          <t>A mean face completeness</t>
        </is>
      </c>
      <c r="B9">
        <f>AVERAGE(Case_Review!E2:E13)</f>
        <v/>
      </c>
    </row>
    <row r="10">
      <c r="A10" t="inlineStr">
        <is>
          <t>B mean face completeness</t>
        </is>
      </c>
      <c r="B10">
        <f>AVERAGE(Case_Review!F2:F13)</f>
        <v/>
      </c>
    </row>
    <row r="11">
      <c r="A11" t="inlineStr">
        <is>
          <t>A mean geometry alignment</t>
        </is>
      </c>
      <c r="B11">
        <f>AVERAGE(Case_Review!G2:G13)</f>
        <v/>
      </c>
    </row>
    <row r="12">
      <c r="A12" t="inlineStr">
        <is>
          <t>B mean geometry alignment</t>
        </is>
      </c>
      <c r="B12">
        <f>AVERAGE(Case_Review!H2:H13)</f>
        <v/>
      </c>
    </row>
    <row r="13">
      <c r="A13" t="inlineStr">
        <is>
          <t>A mean appearance cleanliness</t>
        </is>
      </c>
      <c r="B13">
        <f>AVERAGE(Case_Review!I2:I13)</f>
        <v/>
      </c>
    </row>
    <row r="14">
      <c r="A14" t="inlineStr">
        <is>
          <t>B mean appearance cleanliness</t>
        </is>
      </c>
      <c r="B14">
        <f>AVERAGE(Case_Review!J2:J13)</f>
        <v/>
      </c>
    </row>
    <row r="15">
      <c r="A15" t="inlineStr">
        <is>
          <t>A mean relighting identity</t>
        </is>
      </c>
      <c r="B15">
        <f>AVERAGE(Case_Review!K2:K13)</f>
        <v/>
      </c>
    </row>
    <row r="16">
      <c r="A16" t="inlineStr">
        <is>
          <t>B mean relighting identity</t>
        </is>
      </c>
      <c r="B16">
        <f>AVERAGE(Case_Review!L2:L13)</f>
        <v/>
      </c>
    </row>
    <row r="17">
      <c r="A17" t="inlineStr">
        <is>
          <t>A mean overall usability</t>
        </is>
      </c>
      <c r="B17">
        <f>AVERAGE(Case_Review!M2:M13)</f>
        <v/>
      </c>
    </row>
    <row r="18">
      <c r="A18" t="inlineStr">
        <is>
          <t>B mean overall usability</t>
        </is>
      </c>
      <c r="B18">
        <f>AVERAGE(Case_Review!N2:N13)</f>
        <v/>
      </c>
    </row>
    <row r="19">
      <c r="A19" t="inlineStr">
        <is>
          <t>Preference A</t>
        </is>
      </c>
      <c r="B19">
        <f>COUNTIF(Case_Review!Q2:Q13,"A")</f>
        <v/>
      </c>
    </row>
    <row r="20">
      <c r="A20" t="inlineStr">
        <is>
          <t>Preference B</t>
        </is>
      </c>
      <c r="B20">
        <f>COUNTIF(Case_Review!Q2:Q13,"B")</f>
        <v/>
      </c>
    </row>
    <row r="21">
      <c r="A21" t="inlineStr">
        <is>
          <t>Preference Tie</t>
        </is>
      </c>
      <c r="B21">
        <f>COUNTIF(Case_Review!Q2:Q13,"Tie")</f>
        <v/>
      </c>
    </row>
    <row r="22">
      <c r="A22" t="inlineStr">
        <is>
          <t>Preference Neither</t>
        </is>
      </c>
      <c r="B22">
        <f>COUNTIF(Case_Review!Q2:Q13,"Neither")</f>
        <v/>
      </c>
    </row>
    <row r="23">
      <c r="A23" t="inlineStr">
        <is>
          <t>Confidence Low</t>
        </is>
      </c>
      <c r="B23">
        <f>COUNTIF(Case_Review!R2:R13,"Low")</f>
        <v/>
      </c>
    </row>
    <row r="24">
      <c r="A24" t="inlineStr">
        <is>
          <t>Confidence Medium</t>
        </is>
      </c>
      <c r="B24">
        <f>COUNTIF(Case_Review!R2:R13,"Medium")</f>
        <v/>
      </c>
    </row>
    <row r="25">
      <c r="A25" t="inlineStr">
        <is>
          <t>Confidence High</t>
        </is>
      </c>
      <c r="B25">
        <f>COUNTIF(Case_Review!R2:R13,"High")</f>
        <v/>
      </c>
    </row>
    <row r="26">
      <c r="A26" t="inlineStr">
        <is>
          <t>Missing required fields</t>
        </is>
      </c>
      <c r="B26">
        <f>COUNTBLANK(Case_Review!C2:R13)</f>
        <v/>
      </c>
    </row>
    <row r="27">
      <c r="A27" t="inlineStr">
        <is>
          <t>Table complete</t>
        </is>
      </c>
      <c r="B27">
        <f>IF(COUNTBLANK(Case_Review!C2:R13)=0,"Yes","No")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6" t="inlineStr">
        <is>
          <t>Dimension</t>
        </is>
      </c>
      <c r="B1" s="6" t="inlineStr">
        <is>
          <t>Definition</t>
        </is>
      </c>
    </row>
    <row r="2">
      <c r="A2" s="6" t="inlineStr">
        <is>
          <t>Face completeness</t>
        </is>
      </c>
      <c r="B2" s="6" t="inlineStr">
        <is>
          <t>Whether forehead, chin, and both cheeks are complete without crop loss.</t>
        </is>
      </c>
    </row>
    <row r="3">
      <c r="A3" s="6" t="inlineStr">
        <is>
          <t>Geometry alignment</t>
        </is>
      </c>
      <c r="B3" s="6" t="inlineStr">
        <is>
          <t>Whether reconstructed features, contour, and pose agree with the input.</t>
        </is>
      </c>
    </row>
    <row r="4">
      <c r="A4" s="6" t="inlineStr">
        <is>
          <t>Appearance cleanliness</t>
        </is>
      </c>
      <c r="B4" s="6" t="inlineStr">
        <is>
          <t>Whether albedo-like and shading-like outputs avoid background leakage, colour discontinuity, and boundary artifacts.</t>
        </is>
      </c>
    </row>
    <row r="5">
      <c r="A5" s="6" t="inlineStr">
        <is>
          <t>Relighting identity preservation</t>
        </is>
      </c>
      <c r="B5" s="6" t="inlineStr">
        <is>
          <t>Whether fixed-light renders retain basic identity structure and facial shape.</t>
        </is>
      </c>
    </row>
    <row r="6">
      <c r="A6" s="6" t="inlineStr">
        <is>
          <t>Overall technical usability</t>
        </is>
      </c>
      <c r="B6" s="6" t="inlineStr">
        <is>
          <t>Suitability for later fixed-batch representation generation; not classification quality.</t>
        </is>
      </c>
    </row>
    <row r="7">
      <c r="A7" s="6" t="inlineStr">
        <is>
          <t>Scores</t>
        </is>
      </c>
      <c r="B7" s="6" t="inlineStr">
        <is>
          <t>1 obvious failure; 2 poor; 3 acceptable with issues; 4 good; 5 excellent.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2026-07-26T11:57:00Z</dcterms:created>
  <dcterms:modified xsi:type="dcterms:W3CDTF">2026-07-26T11:57:00Z</dcterms:modified>
</cp:coreProperties>
</file>